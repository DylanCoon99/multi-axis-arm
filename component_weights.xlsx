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onent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z val="12"/>
      <scheme val="minor"/>
    </font>
    <font>
      <name val="Calibri"/>
      <b val="1"/>
      <color theme="1"/>
      <sz val="11"/>
      <scheme val="minor"/>
    </font>
    <font/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CC0000"/>
      <scheme val="minor"/>
    </font>
    <font>
      <b val="1"/>
    </font>
    <font>
      <b val="1"/>
      <color rgb="00008000"/>
    </font>
  </fonts>
  <fills count="7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0" borderId="0" pivotButton="0" quotePrefix="0" xfId="0"/>
    <xf numFmtId="2" fontId="5" fillId="0" borderId="1" applyAlignment="1" pivotButton="0" quotePrefix="0" xfId="0">
      <alignment horizontal="center"/>
    </xf>
    <xf numFmtId="0" fontId="6" fillId="3" borderId="1" pivotButton="0" quotePrefix="0" xfId="0"/>
    <xf numFmtId="0" fontId="5" fillId="3" borderId="1" pivotButton="0" quotePrefix="0" xfId="0"/>
    <xf numFmtId="2" fontId="6" fillId="3" borderId="1" applyAlignment="1" pivotButton="0" quotePrefix="0" xfId="0">
      <alignment horizontal="center"/>
    </xf>
    <xf numFmtId="0" fontId="6" fillId="0" borderId="1" pivotButton="0" quotePrefix="0" xfId="0"/>
    <xf numFmtId="2" fontId="6" fillId="0" borderId="1" applyAlignment="1" pivotButton="0" quotePrefix="0" xfId="0">
      <alignment horizontal="center"/>
    </xf>
    <xf numFmtId="0" fontId="6" fillId="4" borderId="1" pivotButton="0" quotePrefix="0" xfId="0"/>
    <xf numFmtId="0" fontId="5" fillId="4" borderId="1" pivotButton="0" quotePrefix="0" xfId="0"/>
    <xf numFmtId="2" fontId="7" fillId="4" borderId="1" applyAlignment="1" pivotButton="0" quotePrefix="0" xfId="0">
      <alignment horizontal="center"/>
    </xf>
    <xf numFmtId="0" fontId="0" fillId="0" borderId="0" pivotButton="0" quotePrefix="0" xfId="0"/>
    <xf numFmtId="0" fontId="3" fillId="2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2" fontId="2" fillId="2" borderId="7" applyAlignment="1" pivotButton="0" quotePrefix="0" xfId="0">
      <alignment horizontal="center"/>
    </xf>
    <xf numFmtId="0" fontId="5" fillId="0" borderId="7" pivotButton="0" quotePrefix="0" xfId="0"/>
    <xf numFmtId="0" fontId="5" fillId="0" borderId="7" applyAlignment="1" pivotButton="0" quotePrefix="0" xfId="0">
      <alignment horizontal="center"/>
    </xf>
    <xf numFmtId="2" fontId="5" fillId="0" borderId="7" applyAlignment="1" pivotButton="0" quotePrefix="0" xfId="0">
      <alignment horizontal="center"/>
    </xf>
    <xf numFmtId="0" fontId="8" fillId="5" borderId="7" pivotButton="0" quotePrefix="0" xfId="0"/>
    <xf numFmtId="0" fontId="5" fillId="5" borderId="7" applyAlignment="1" pivotButton="0" quotePrefix="0" xfId="0">
      <alignment horizontal="center"/>
    </xf>
    <xf numFmtId="2" fontId="8" fillId="5" borderId="7" applyAlignment="1" pivotButton="0" quotePrefix="0" xfId="0">
      <alignment horizontal="center"/>
    </xf>
    <xf numFmtId="0" fontId="8" fillId="3" borderId="7" pivotButton="0" quotePrefix="0" xfId="0"/>
    <xf numFmtId="0" fontId="5" fillId="3" borderId="7" pivotButton="0" quotePrefix="0" xfId="0"/>
    <xf numFmtId="2" fontId="8" fillId="3" borderId="7" applyAlignment="1" pivotButton="0" quotePrefix="0" xfId="0">
      <alignment horizontal="center"/>
    </xf>
    <xf numFmtId="0" fontId="8" fillId="6" borderId="7" pivotButton="0" quotePrefix="0" xfId="0"/>
    <xf numFmtId="0" fontId="5" fillId="6" borderId="7" pivotButton="0" quotePrefix="0" xfId="0"/>
    <xf numFmtId="2" fontId="9" fillId="6" borderId="7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20" min="1" max="1"/>
    <col width="18" customWidth="1" style="20" min="2" max="3"/>
    <col width="40" customWidth="1" style="20" min="4" max="4"/>
    <col width="8.710000000000001" customWidth="1" style="20" min="5" max="26"/>
  </cols>
  <sheetData>
    <row r="1">
      <c r="A1" s="1" t="inlineStr">
        <is>
          <t>Component Weight Log — Week 1 Torque Calculation</t>
        </is>
      </c>
    </row>
    <row r="2"/>
    <row r="3">
      <c r="A3" s="2" t="inlineStr">
        <is>
          <t>Component</t>
        </is>
      </c>
      <c r="B3" s="2" t="inlineStr">
        <is>
          <t>Estimated (g)</t>
        </is>
      </c>
      <c r="C3" s="2" t="inlineStr">
        <is>
          <t>Measured (g)</t>
        </is>
      </c>
      <c r="D3" s="2" t="inlineStr">
        <is>
          <t>Notes</t>
        </is>
      </c>
    </row>
    <row r="4">
      <c r="A4" s="21" t="inlineStr">
        <is>
          <t>Actuators</t>
        </is>
      </c>
      <c r="B4" s="22" t="n"/>
      <c r="C4" s="22" t="n"/>
      <c r="D4" s="23" t="n"/>
    </row>
    <row r="5">
      <c r="A5" s="6" t="inlineStr">
        <is>
          <t>NEMA 17 stepper</t>
        </is>
      </c>
      <c r="B5" s="9" t="n"/>
      <c r="C5" s="9" t="n"/>
      <c r="D5" s="6" t="inlineStr">
        <is>
          <t>Sits on base — not in torque calc</t>
        </is>
      </c>
    </row>
    <row r="6">
      <c r="A6" s="6" t="inlineStr">
        <is>
          <t>MG996R servo #1 (J2 shoulder)</t>
        </is>
      </c>
      <c r="B6" s="8" t="n">
        <v>55</v>
      </c>
      <c r="C6" s="9" t="n">
        <v>55</v>
      </c>
      <c r="D6" s="6" t="n"/>
    </row>
    <row r="7">
      <c r="A7" s="6" t="inlineStr">
        <is>
          <t>MG996R servo #2 (J2 shoulder)</t>
        </is>
      </c>
      <c r="B7" s="8" t="n">
        <v>55</v>
      </c>
      <c r="C7" s="9" t="n">
        <v>55</v>
      </c>
      <c r="D7" s="6" t="n"/>
    </row>
    <row r="8">
      <c r="A8" s="24" t="inlineStr">
        <is>
          <t>MG996R servo #3 (J3 elbow)</t>
        </is>
      </c>
      <c r="B8" s="25" t="n">
        <v>55</v>
      </c>
      <c r="C8" s="25" t="n">
        <v>55</v>
      </c>
      <c r="D8" s="24" t="n"/>
    </row>
    <row r="9">
      <c r="A9" s="6" t="inlineStr">
        <is>
          <t>SG90 / MG90S servo (gripper)</t>
        </is>
      </c>
      <c r="B9" s="8" t="n">
        <v>9</v>
      </c>
      <c r="C9" s="9" t="n">
        <v>9</v>
      </c>
      <c r="D9" s="6" t="inlineStr">
        <is>
          <t>SG90 ~9g, MG90S ~13g</t>
        </is>
      </c>
    </row>
    <row r="10">
      <c r="A10" s="6" t="inlineStr">
        <is>
          <t>Spare MG996R</t>
        </is>
      </c>
      <c r="B10" s="9" t="n"/>
      <c r="C10" s="9" t="n"/>
      <c r="D10" s="6" t="inlineStr">
        <is>
          <t>Not installed — exclude from calc</t>
        </is>
      </c>
    </row>
    <row r="11"/>
    <row r="12">
      <c r="A12" s="21" t="inlineStr">
        <is>
          <t>Structural (printed parts)</t>
        </is>
      </c>
      <c r="B12" s="22" t="n"/>
      <c r="C12" s="22" t="n"/>
      <c r="D12" s="23" t="n"/>
    </row>
    <row r="13">
      <c r="A13" s="6" t="inlineStr">
        <is>
          <t>Upper arm link</t>
        </is>
      </c>
      <c r="B13" s="8" t="n">
        <v>60</v>
      </c>
      <c r="C13" s="9" t="n">
        <v>60</v>
      </c>
      <c r="D13" s="6" t="inlineStr">
        <is>
          <t>Estimate — weigh after printing</t>
        </is>
      </c>
    </row>
    <row r="14">
      <c r="A14" s="6" t="inlineStr">
        <is>
          <t>Forearm link</t>
        </is>
      </c>
      <c r="B14" s="8" t="n">
        <v>50</v>
      </c>
      <c r="C14" s="9" t="n">
        <v>50</v>
      </c>
      <c r="D14" s="6" t="inlineStr">
        <is>
          <t>Estimate — weigh after printing</t>
        </is>
      </c>
    </row>
    <row r="15">
      <c r="A15" s="6" t="inlineStr">
        <is>
          <t>Shoulder fork / joint housing</t>
        </is>
      </c>
      <c r="B15" s="9" t="n"/>
      <c r="C15" s="9" t="n"/>
      <c r="D15" s="6" t="n"/>
    </row>
    <row r="16">
      <c r="A16" s="6" t="inlineStr">
        <is>
          <t>Elbow fork / joint housing</t>
        </is>
      </c>
      <c r="B16" s="9" t="n"/>
      <c r="C16" s="9" t="n"/>
      <c r="D16" s="6" t="n"/>
    </row>
    <row r="17">
      <c r="A17" s="6" t="inlineStr">
        <is>
          <t>Gripper assembly (jaws + mount)</t>
        </is>
      </c>
      <c r="B17" s="8" t="n">
        <v>70</v>
      </c>
      <c r="C17" s="9" t="n">
        <v>70</v>
      </c>
      <c r="D17" s="6" t="inlineStr">
        <is>
          <t>Total with servo</t>
        </is>
      </c>
    </row>
    <row r="18">
      <c r="A18" s="6" t="inlineStr">
        <is>
          <t>Base disc (printed pulley)</t>
        </is>
      </c>
      <c r="B18" s="9" t="n"/>
      <c r="C18" s="9" t="n"/>
      <c r="D18" s="6" t="inlineStr">
        <is>
          <t>Not in torque calc</t>
        </is>
      </c>
    </row>
    <row r="19">
      <c r="A19" s="6" t="inlineStr">
        <is>
          <t>Base plate</t>
        </is>
      </c>
      <c r="B19" s="9" t="n"/>
      <c r="C19" s="9" t="n"/>
      <c r="D19" s="6" t="inlineStr">
        <is>
          <t>Not in torque calc</t>
        </is>
      </c>
    </row>
    <row r="20"/>
    <row r="21" ht="15.75" customHeight="1" s="20">
      <c r="A21" s="21" t="inlineStr">
        <is>
          <t>Hardware</t>
        </is>
      </c>
      <c r="B21" s="22" t="n"/>
      <c r="C21" s="22" t="n"/>
      <c r="D21" s="23" t="n"/>
    </row>
    <row r="22" ht="15.75" customHeight="1" s="20">
      <c r="A22" s="6" t="inlineStr">
        <is>
          <t>608ZZ bearing x2</t>
        </is>
      </c>
      <c r="B22" s="9" t="n"/>
      <c r="C22" s="9" t="n">
        <v>12</v>
      </c>
      <c r="D22" s="6" t="inlineStr">
        <is>
          <t>~12g each</t>
        </is>
      </c>
    </row>
    <row r="23" ht="15.75" customHeight="1" s="20">
      <c r="A23" s="6" t="inlineStr">
        <is>
          <t>Metal servo horn x2</t>
        </is>
      </c>
      <c r="B23" s="9" t="n"/>
      <c r="C23" s="9" t="n"/>
      <c r="D23" s="6" t="n"/>
    </row>
    <row r="24" ht="15.75" customHeight="1" s="20">
      <c r="A24" s="6" t="inlineStr">
        <is>
          <t>M3 fasteners (per joint, approx)</t>
        </is>
      </c>
      <c r="B24" s="9" t="n"/>
      <c r="C24" s="9" t="n"/>
      <c r="D24" s="6" t="n"/>
    </row>
    <row r="25" ht="15.75" customHeight="1" s="20">
      <c r="A25" s="6" t="inlineStr">
        <is>
          <t>8mm stub shafts x2</t>
        </is>
      </c>
      <c r="B25" s="9" t="n"/>
      <c r="C25" s="9" t="n"/>
      <c r="D25" s="6" t="n"/>
    </row>
    <row r="26" ht="15.75" customHeight="1" s="20"/>
    <row r="27" ht="15.75" customHeight="1" s="20">
      <c r="A27" s="21" t="inlineStr">
        <is>
          <t>Belt Drive (base — not in torque calc)</t>
        </is>
      </c>
      <c r="B27" s="22" t="n"/>
      <c r="C27" s="22" t="n"/>
      <c r="D27" s="23" t="n"/>
    </row>
    <row r="28" ht="15.75" customHeight="1" s="20">
      <c r="A28" s="6" t="inlineStr">
        <is>
          <t>GT2 belt segment</t>
        </is>
      </c>
      <c r="B28" s="9" t="n"/>
      <c r="C28" s="9" t="n"/>
      <c r="D28" s="6" t="n"/>
    </row>
    <row r="29" ht="15.75" customHeight="1" s="20">
      <c r="A29" s="6" t="inlineStr">
        <is>
          <t>20T GT2 pulley x2</t>
        </is>
      </c>
      <c r="B29" s="9" t="n"/>
      <c r="C29" s="9" t="n"/>
      <c r="D29" s="6" t="n"/>
    </row>
    <row r="30" ht="15.75" customHeight="1" s="20"/>
    <row r="31" ht="15.75" customHeight="1" s="20">
      <c r="A31" s="21" t="inlineStr">
        <is>
          <t>Payload</t>
        </is>
      </c>
      <c r="B31" s="22" t="n"/>
      <c r="C31" s="22" t="n"/>
      <c r="D31" s="23" t="n"/>
    </row>
    <row r="32" ht="15.75" customHeight="1" s="20">
      <c r="A32" s="6" t="inlineStr">
        <is>
          <t>Test object — light</t>
        </is>
      </c>
      <c r="B32" s="8" t="n">
        <v>25</v>
      </c>
      <c r="C32" s="9" t="n"/>
      <c r="D32" s="6" t="n"/>
    </row>
    <row r="33" ht="15.75" customHeight="1" s="20">
      <c r="A33" s="6" t="inlineStr">
        <is>
          <t>Test object — medium</t>
        </is>
      </c>
      <c r="B33" s="8" t="n">
        <v>50</v>
      </c>
      <c r="C33" s="9" t="n"/>
      <c r="D33" s="6" t="n"/>
    </row>
    <row r="34" ht="15.75" customHeight="1" s="20">
      <c r="A34" s="6" t="inlineStr">
        <is>
          <t>Test object — heavy</t>
        </is>
      </c>
      <c r="B34" s="8" t="n">
        <v>100</v>
      </c>
      <c r="C34" s="9" t="n"/>
      <c r="D34" s="6" t="n"/>
    </row>
    <row r="35" ht="15.75" customHeight="1" s="20"/>
    <row r="36" ht="15.75" customHeight="1" s="20"/>
    <row r="37" ht="15.75" customHeight="1" s="20">
      <c r="A37" s="10" t="inlineStr">
        <is>
          <t>Shoulder Torque Calculation (J2, dual MG996R) — Fill in after weighing</t>
        </is>
      </c>
    </row>
    <row r="38" ht="15.75" customHeight="1" s="20"/>
    <row r="39" ht="15.75" customHeight="1" s="20">
      <c r="A39" s="26" t="inlineStr">
        <is>
          <t>Upper arm link</t>
        </is>
      </c>
      <c r="B39" s="26" t="n">
        <v>50</v>
      </c>
      <c r="C39" s="26" t="n">
        <v>60</v>
      </c>
      <c r="D39" s="27">
        <f>IF(AND(B39&lt;&gt;"",C39&lt;&gt;""),B39*C39/10000,"")</f>
        <v/>
      </c>
    </row>
    <row r="40" ht="15.75" customHeight="1" s="20">
      <c r="A40" s="28" t="inlineStr">
        <is>
          <t>Elbow servo (MG996R)</t>
        </is>
      </c>
      <c r="B40" s="29" t="n">
        <v>55</v>
      </c>
      <c r="C40" s="29" t="n">
        <v>120</v>
      </c>
      <c r="D40" s="30">
        <f>IF(AND(B40&lt;&gt;"",C40&lt;&gt;""),B40*C40/10000,"")</f>
        <v/>
      </c>
    </row>
    <row r="41" ht="15.75" customHeight="1" s="20">
      <c r="A41" s="28" t="inlineStr">
        <is>
          <t>Forearm link</t>
        </is>
      </c>
      <c r="B41" s="29" t="n">
        <v>50</v>
      </c>
      <c r="C41" s="29" t="n">
        <v>185</v>
      </c>
      <c r="D41" s="30">
        <f>IF(AND(B41&lt;&gt;"",C41&lt;&gt;""),B41*C41/10000,"")</f>
        <v/>
      </c>
    </row>
    <row r="42" ht="15.75" customHeight="1" s="20">
      <c r="A42" s="28" t="inlineStr">
        <is>
          <t>Gripper assembly</t>
        </is>
      </c>
      <c r="B42" s="29" t="n">
        <v>50</v>
      </c>
      <c r="C42" s="29" t="n">
        <v>250</v>
      </c>
      <c r="D42" s="30">
        <f>IF(AND(B42&lt;&gt;"",C42&lt;&gt;""),B42*C42/10000,"")</f>
        <v/>
      </c>
    </row>
    <row r="43" ht="15.75" customHeight="1" s="20">
      <c r="A43" s="28" t="inlineStr">
        <is>
          <t>Payload</t>
        </is>
      </c>
      <c r="B43" s="29" t="n">
        <v>50</v>
      </c>
      <c r="C43" s="29" t="n">
        <v>260</v>
      </c>
      <c r="D43" s="30">
        <f>IF(AND(B43&lt;&gt;"",C43&lt;&gt;""),B43*C43/10000,"")</f>
        <v/>
      </c>
    </row>
    <row r="44" ht="15.75" customHeight="1" s="20">
      <c r="A44" s="31" t="inlineStr">
        <is>
          <t>TOTAL at shoulder</t>
        </is>
      </c>
      <c r="B44" s="32" t="n">
        <v>50</v>
      </c>
      <c r="C44" s="32" t="n">
        <v>270</v>
      </c>
      <c r="D44" s="33">
        <f>SUM(D39:D43)</f>
        <v/>
      </c>
    </row>
    <row r="45" ht="15.75" customHeight="1" s="20">
      <c r="A45" s="34" t="inlineStr">
        <is>
          <t>Budget (50% of dual MG996R rating)</t>
        </is>
      </c>
      <c r="B45" s="35" t="n"/>
      <c r="C45" s="35" t="n"/>
      <c r="D45" s="36" t="n">
        <v>10</v>
      </c>
    </row>
    <row r="46" ht="15.75" customHeight="1" s="20">
      <c r="A46" s="37" t="inlineStr">
        <is>
          <t>Margin (positive = OK)</t>
        </is>
      </c>
      <c r="B46" s="38" t="n"/>
      <c r="C46" s="38" t="n"/>
      <c r="D46" s="39">
        <f>D45-D44</f>
        <v/>
      </c>
    </row>
    <row r="47" ht="15.75" customHeight="1" s="20">
      <c r="A47" s="17" t="inlineStr">
        <is>
          <t>Margin (positive = OK)</t>
        </is>
      </c>
      <c r="B47" s="18" t="n"/>
      <c r="C47" s="18" t="n"/>
      <c r="D47" s="19">
        <f>D45-D44</f>
        <v/>
      </c>
    </row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7">
    <mergeCell ref="A1:D1"/>
    <mergeCell ref="A4:D4"/>
    <mergeCell ref="A20:D20"/>
    <mergeCell ref="A26:D26"/>
    <mergeCell ref="A30:D30"/>
    <mergeCell ref="A11:D11"/>
    <mergeCell ref="A36:D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2026-09-01T00:45:21Z</dcterms:created>
  <dcterms:modified xmlns:dcterms="http://purl.org/dc/terms/" xmlns:xsi="http://www.w3.org/2001/XMLSchema-instance" xsi:type="dcterms:W3CDTF">2026-09-01T01:10:58Z</dcterms:modified>
</cp:coreProperties>
</file>